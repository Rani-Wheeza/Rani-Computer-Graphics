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RaniWheeza(TL\Desktop\edw\"/>
    </mc:Choice>
  </mc:AlternateContent>
  <xr:revisionPtr revIDLastSave="0" documentId="13_ncr:1_{BA7FE914-1347-4332-967A-5DFC248AE35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<sst xmlns="http://schemas.openxmlformats.org/spreadsheetml/2006/main" count="44" uniqueCount="40">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</sst>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340179</xdr:colOff>
      <xdr:row>2</xdr:row>
      <xdr:rowOff>13608</xdr:rowOff>
    </xdr:from>
    <xdr:to>
      <xdr:col>4</xdr:col>
      <xdr:colOff>1347593</xdr:colOff>
      <xdr:row>2</xdr:row>
      <xdr:rowOff>5102680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F6AD57-93B2-85C2-641E-3D06FE197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77143" y="340179"/>
          <a:ext cx="3511129" cy="5089072"/>
        </a:xfrm>
        <a:prstGeom prst="rect">
          <a:avLst/>
        </a:prstGeom>
      </xdr:spPr>
    </xdr:pic>
    <xdr:clientData/>
  </xdr:twoCellAnchor>
  <xdr:twoCellAnchor editAs="oneCell">
    <xdr:from>
      <xdr:col>3</xdr:col>
      <xdr:colOff>421821</xdr:colOff>
      <xdr:row>5</xdr:row>
      <xdr:rowOff>217714</xdr:rowOff>
    </xdr:from>
    <xdr:to>
      <xdr:col>4</xdr:col>
      <xdr:colOff>2332722</xdr:colOff>
      <xdr:row>5</xdr:row>
      <xdr:rowOff>2068286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CA25600-7876-3F44-2D2E-523A92611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58785" y="6068785"/>
          <a:ext cx="4414616" cy="1850572"/>
        </a:xfrm>
        <a:prstGeom prst="rect">
          <a:avLst/>
        </a:prstGeom>
      </xdr:spPr>
    </xdr:pic>
    <xdr:clientData/>
  </xdr:twoCellAnchor>
  <xdr:twoCellAnchor editAs="oneCell">
    <xdr:from>
      <xdr:col>3</xdr:col>
      <xdr:colOff>163284</xdr:colOff>
      <xdr:row>8</xdr:row>
      <xdr:rowOff>0</xdr:rowOff>
    </xdr:from>
    <xdr:to>
      <xdr:col>4</xdr:col>
      <xdr:colOff>1115784</xdr:colOff>
      <xdr:row>8</xdr:row>
      <xdr:rowOff>5136544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41DF547-9ABB-BBB3-93FA-E486D279F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0248" y="8558893"/>
          <a:ext cx="3456215" cy="5136544"/>
        </a:xfrm>
        <a:prstGeom prst="rect">
          <a:avLst/>
        </a:prstGeom>
      </xdr:spPr>
    </xdr:pic>
    <xdr:clientData/>
  </xdr:twoCellAnchor>
  <xdr:twoCellAnchor editAs="oneCell">
    <xdr:from>
      <xdr:col>7</xdr:col>
      <xdr:colOff>81643</xdr:colOff>
      <xdr:row>11</xdr:row>
      <xdr:rowOff>81643</xdr:rowOff>
    </xdr:from>
    <xdr:to>
      <xdr:col>8</xdr:col>
      <xdr:colOff>843643</xdr:colOff>
      <xdr:row>11</xdr:row>
      <xdr:rowOff>5179932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0693C63-0EBC-4FD0-B6F7-89300E448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933214" y="14165036"/>
          <a:ext cx="2598965" cy="509828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4</xdr:col>
      <xdr:colOff>2811905</xdr:colOff>
      <xdr:row>11</xdr:row>
      <xdr:rowOff>2558143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E9FD53A-5D4F-3E2A-CB43-716C15C29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36964" y="14083393"/>
          <a:ext cx="5315620" cy="2558143"/>
        </a:xfrm>
        <a:prstGeom prst="rect">
          <a:avLst/>
        </a:prstGeom>
      </xdr:spPr>
    </xdr:pic>
    <xdr:clientData/>
  </xdr:twoCellAnchor>
  <xdr:twoCellAnchor editAs="oneCell">
    <xdr:from>
      <xdr:col>3</xdr:col>
      <xdr:colOff>136071</xdr:colOff>
      <xdr:row>14</xdr:row>
      <xdr:rowOff>40821</xdr:rowOff>
    </xdr:from>
    <xdr:to>
      <xdr:col>4</xdr:col>
      <xdr:colOff>1809749</xdr:colOff>
      <xdr:row>15</xdr:row>
      <xdr:rowOff>80760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2529FA9-F702-97A0-205F-881B84B37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73035" y="19648714"/>
          <a:ext cx="4177393" cy="5237867"/>
        </a:xfrm>
        <a:prstGeom prst="rect">
          <a:avLst/>
        </a:prstGeom>
      </xdr:spPr>
    </xdr:pic>
    <xdr:clientData/>
  </xdr:twoCellAnchor>
  <xdr:twoCellAnchor editAs="oneCell">
    <xdr:from>
      <xdr:col>3</xdr:col>
      <xdr:colOff>13607</xdr:colOff>
      <xdr:row>17</xdr:row>
      <xdr:rowOff>13606</xdr:rowOff>
    </xdr:from>
    <xdr:to>
      <xdr:col>4</xdr:col>
      <xdr:colOff>1115785</xdr:colOff>
      <xdr:row>17</xdr:row>
      <xdr:rowOff>5191553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9A782D4-1425-E760-88EE-37A34DEE3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50571" y="25145999"/>
          <a:ext cx="3605893" cy="5177947"/>
        </a:xfrm>
        <a:prstGeom prst="rect">
          <a:avLst/>
        </a:prstGeom>
      </xdr:spPr>
    </xdr:pic>
    <xdr:clientData/>
  </xdr:twoCellAnchor>
  <xdr:twoCellAnchor editAs="oneCell">
    <xdr:from>
      <xdr:col>2</xdr:col>
      <xdr:colOff>612320</xdr:colOff>
      <xdr:row>20</xdr:row>
      <xdr:rowOff>0</xdr:rowOff>
    </xdr:from>
    <xdr:to>
      <xdr:col>4</xdr:col>
      <xdr:colOff>952499</xdr:colOff>
      <xdr:row>20</xdr:row>
      <xdr:rowOff>5166151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A58B7A1-7D88-23CC-008D-30A806997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36963" y="30656893"/>
          <a:ext cx="3456215" cy="5166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Normal="100" workbookViewId="0">
      <selection activeCell="E13" sqref="E13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366252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2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0.99076429675591937</v>
      </c>
      <c r="D7" s="27">
        <f t="shared" ref="D7:E7" si="0">D21/$G$21</f>
        <v>-9.5880415815088965E-2</v>
      </c>
      <c r="E7" s="29">
        <f t="shared" si="0"/>
        <v>-9.5880415815088965E-2</v>
      </c>
      <c r="F7" s="30" t="s">
        <v>37</v>
      </c>
      <c r="G7" s="33">
        <f>C21</f>
        <v>31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1</v>
      </c>
      <c r="D8" s="27">
        <f t="shared" ref="D8:E8" si="2">D22</f>
        <v>1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-3</v>
      </c>
      <c r="D9" s="27">
        <f t="shared" ref="D9:E9" si="3">D23</f>
        <v>0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33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1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-6.4084133611200148E-2</v>
      </c>
      <c r="D13" s="27">
        <f t="shared" ref="D13:E13" si="6">D27/$G$27</f>
        <v>-9.6126200416800214E-2</v>
      </c>
      <c r="E13" s="29">
        <f t="shared" si="6"/>
        <v>0.99330407097360229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31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31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31.28897569432403</v>
      </c>
    </row>
    <row r="22" spans="1:7" ht="12.75" hidden="1" customHeight="1" x14ac:dyDescent="0.25">
      <c r="C22" s="32">
        <f>MOD(INT((C4/10000)),6) + 1</f>
        <v>1</v>
      </c>
      <c r="D22" s="32">
        <f>MOD(MOD(INT((C4/1000)),10),6) +1</f>
        <v>1</v>
      </c>
      <c r="E22" s="32">
        <f>MOD(MOD(INT((C4/100)),10),6) +1</f>
        <v>3</v>
      </c>
      <c r="G22" s="25">
        <f t="shared" ref="G22:G27" si="8">SQRT(C22*C22+D22*D22+E22*E22)</f>
        <v>3.3166247903553998</v>
      </c>
    </row>
    <row r="23" spans="1:7" ht="12.75" hidden="1" customHeight="1" x14ac:dyDescent="0.25">
      <c r="C23" s="27">
        <f>MOD(C4,10)-5</f>
        <v>-3</v>
      </c>
      <c r="D23" s="27">
        <f>MOD(INT((C4/10)),10)-5</f>
        <v>0</v>
      </c>
      <c r="E23" s="27">
        <f>MOD(INT((C4/100)),10)-4</f>
        <v>-2</v>
      </c>
      <c r="G23" s="25">
        <f t="shared" si="8"/>
        <v>3.6055512754639891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33</v>
      </c>
      <c r="D25" s="27">
        <f>3+D21</f>
        <v>0</v>
      </c>
      <c r="E25" s="27">
        <f>E21+50</f>
        <v>47</v>
      </c>
      <c r="G25" s="25">
        <f t="shared" si="8"/>
        <v>57.428216061444921</v>
      </c>
    </row>
    <row r="26" spans="1:7" ht="12.75" hidden="1" customHeight="1" x14ac:dyDescent="0.25">
      <c r="C26" s="31">
        <f>D21</f>
        <v>-3</v>
      </c>
      <c r="D26" s="31">
        <f>C22</f>
        <v>1</v>
      </c>
      <c r="E26" s="31">
        <f>E22</f>
        <v>3</v>
      </c>
      <c r="G26" s="25">
        <f t="shared" si="8"/>
        <v>4.358898943540674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31</v>
      </c>
      <c r="G27" s="25">
        <f t="shared" si="8"/>
        <v>31.208973068654469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topLeftCell="A18" zoomScale="70" zoomScaleNormal="70" workbookViewId="0">
      <selection activeCell="F21" sqref="F21:G21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43.85546875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6" t="s">
        <v>35</v>
      </c>
      <c r="E2" s="47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40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6" t="s">
        <v>13</v>
      </c>
      <c r="E5" s="47"/>
      <c r="F5" s="7"/>
      <c r="H5" s="14"/>
      <c r="I5" s="11"/>
      <c r="L5" s="14"/>
      <c r="M5" s="11"/>
    </row>
    <row r="6" spans="3:13" ht="180.75" customHeight="1" x14ac:dyDescent="0.2">
      <c r="C6" s="4"/>
      <c r="D6" s="38"/>
      <c r="E6" s="40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6" t="s">
        <v>30</v>
      </c>
      <c r="E8" s="47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40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6" t="s">
        <v>4</v>
      </c>
      <c r="E11" s="47"/>
      <c r="F11" s="17"/>
      <c r="G11" s="18"/>
      <c r="H11" s="44" t="s">
        <v>16</v>
      </c>
      <c r="I11" s="45"/>
      <c r="J11" s="7"/>
      <c r="L11" s="14"/>
      <c r="M11" s="11"/>
    </row>
    <row r="12" spans="3:13" ht="409.5" customHeight="1" x14ac:dyDescent="0.2">
      <c r="C12" s="4"/>
      <c r="D12" s="38"/>
      <c r="E12" s="40"/>
      <c r="F12" s="15"/>
      <c r="G12" s="15"/>
      <c r="H12" s="38"/>
      <c r="I12" s="40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6" t="s">
        <v>11</v>
      </c>
      <c r="E14" s="47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40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6" t="s">
        <v>3</v>
      </c>
      <c r="E17" s="47"/>
      <c r="F17" s="17"/>
      <c r="G17" s="11"/>
      <c r="H17" s="14"/>
      <c r="I17" s="11"/>
      <c r="J17" s="14"/>
      <c r="K17" s="11"/>
      <c r="L17" s="14"/>
      <c r="M17" s="11"/>
    </row>
    <row r="18" spans="1:13" ht="409.5" customHeight="1" x14ac:dyDescent="0.2">
      <c r="C18" s="4"/>
      <c r="D18" s="38"/>
      <c r="E18" s="40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6" t="s">
        <v>7</v>
      </c>
      <c r="E20" s="47"/>
      <c r="F20" s="41" t="s">
        <v>32</v>
      </c>
      <c r="G20" s="43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38"/>
      <c r="E21" s="40"/>
      <c r="F21" s="41"/>
      <c r="G21" s="43"/>
      <c r="H21" s="38"/>
      <c r="I21" s="40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6" t="s">
        <v>10</v>
      </c>
      <c r="E23" s="47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38"/>
      <c r="E24" s="40"/>
      <c r="F24" s="5"/>
      <c r="G24" s="10"/>
      <c r="H24" s="10"/>
      <c r="I24" s="10"/>
      <c r="J24" s="6"/>
      <c r="K24" s="22"/>
      <c r="L24" s="38"/>
      <c r="M24" s="40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40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6" t="s">
        <v>15</v>
      </c>
      <c r="E29" s="47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40"/>
      <c r="C30" s="24"/>
      <c r="D30" s="38"/>
      <c r="E30" s="40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6" t="s">
        <v>12</v>
      </c>
      <c r="B32" s="47"/>
      <c r="C32" s="16" t="s">
        <v>32</v>
      </c>
      <c r="D32" s="46" t="s">
        <v>12</v>
      </c>
      <c r="E32" s="47"/>
      <c r="F32" s="41" t="s">
        <v>31</v>
      </c>
      <c r="G32" s="42"/>
      <c r="H32" s="42"/>
      <c r="I32" s="42"/>
      <c r="J32" s="42"/>
      <c r="K32" s="43"/>
      <c r="L32" s="46" t="s">
        <v>12</v>
      </c>
      <c r="M32" s="47"/>
    </row>
    <row r="33" spans="1:13" ht="409.5" customHeight="1" x14ac:dyDescent="0.2">
      <c r="A33" s="48"/>
      <c r="B33" s="39"/>
      <c r="C33" s="16"/>
      <c r="D33" s="38"/>
      <c r="E33" s="40"/>
      <c r="F33" s="41"/>
      <c r="G33" s="42"/>
      <c r="H33" s="42"/>
      <c r="I33" s="42"/>
      <c r="J33" s="42"/>
      <c r="K33" s="43"/>
      <c r="L33" s="38"/>
      <c r="M33" s="39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408.75" customHeight="1" x14ac:dyDescent="0.2">
      <c r="C36" s="4"/>
      <c r="D36" s="38"/>
      <c r="E36" s="40"/>
      <c r="F36" s="11"/>
    </row>
    <row r="38" spans="1:13" ht="15.75" customHeight="1" x14ac:dyDescent="0.2">
      <c r="E38" s="25"/>
      <c r="F38" s="25"/>
      <c r="H38" s="38"/>
      <c r="I38" s="39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Rani Wheeza (TL_KCOMP_B_Y3)</cp:lastModifiedBy>
  <dcterms:created xsi:type="dcterms:W3CDTF">2011-10-19T09:55:01Z</dcterms:created>
  <dcterms:modified xsi:type="dcterms:W3CDTF">2026-10-20T14:56:02Z</dcterms:modified>
</cp:coreProperties>
</file>